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hidden" name="Pivot Table 3" sheetId="2" r:id="rId6"/>
    <sheet state="hidden" name="City pivot table" sheetId="3" r:id="rId7"/>
    <sheet state="hidden" name="Pivot Table 1" sheetId="4" r:id="rId8"/>
    <sheet state="visible" name="Dashboard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<sst xmlns="http://schemas.openxmlformats.org/spreadsheetml/2006/main" count="227" uniqueCount="22">
  <si>
    <t>Order_ID</t>
  </si>
  <si>
    <t>Vendor</t>
  </si>
  <si>
    <t>City</t>
  </si>
  <si>
    <t>Delivery_Time</t>
  </si>
  <si>
    <t>Expected_Time</t>
  </si>
  <si>
    <t>Delay</t>
  </si>
  <si>
    <t>Cost</t>
  </si>
  <si>
    <t>Vendor C</t>
  </si>
  <si>
    <t>Hyderabad</t>
  </si>
  <si>
    <t>Vendor A</t>
  </si>
  <si>
    <t>Chennai</t>
  </si>
  <si>
    <t>Vendor B</t>
  </si>
  <si>
    <t>Mumbai</t>
  </si>
  <si>
    <t>Bangalore</t>
  </si>
  <si>
    <t>Delhi</t>
  </si>
  <si>
    <t>COUNT of Order_ID</t>
  </si>
  <si>
    <t>Grand Total</t>
  </si>
  <si>
    <t>AVERAGE of Delivery_Time</t>
  </si>
  <si>
    <t>AVERAGE of Delay</t>
  </si>
  <si>
    <t>Avg Delivery Time</t>
  </si>
  <si>
    <t>% Delayed Orders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</si>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</sst>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On-Time vs Delayed Orders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3'!$A$1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explosion val="25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'Pivot Table 3'!$A$2:$A$6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Delivery Time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'City pivot table'!$B$1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'City pivot table'!$A$2:$A$7</c:f>
            </c:strRef>
          </c:cat>
          <c:val>
            <c:numRef>
              <c:f>'City pivot table'!$B$2:$B$7</c:f>
              <c:numCache/>
            </c:numRef>
          </c:val>
        </c:ser>
        <c:ser>
          <c:idx val="1"/>
          <c:order val="1"/>
          <c:tx>
            <c:strRef>
              <c:f>'City pivot table'!$C$1</c:f>
            </c:strRef>
          </c:tx>
          <c:cat>
            <c:strRef>
              <c:f>'City pivot table'!$A$2:$A$7</c:f>
            </c:strRef>
          </c:cat>
          <c:val>
            <c:numRef>
              <c:f>'City pivot table'!$C$2:$C$7</c:f>
              <c:numCache/>
            </c:numRef>
          </c:val>
        </c:ser>
        <c:axId val="306271250"/>
        <c:axId val="1591590065"/>
      </c:barChart>
      <c:catAx>
        <c:axId val="306271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1590065"/>
      </c:catAx>
      <c:valAx>
        <c:axId val="1591590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271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Delay by Vendor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1'!$B$2:$B$5</c:f>
            </c:strRef>
          </c:cat>
          <c:val>
            <c:numRef>
              <c:f>'Pivot Table 1'!$B$2:$B$5</c:f>
              <c:numCache/>
            </c:numRef>
          </c:val>
        </c:ser>
        <c:axId val="1098827492"/>
        <c:axId val="1786481162"/>
      </c:barChart>
      <c:catAx>
        <c:axId val="10988274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481162"/>
      </c:catAx>
      <c:valAx>
        <c:axId val="17864811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8274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Delay by Vendor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1'!$B$2:$B$5</c:f>
            </c:strRef>
          </c:cat>
          <c:val>
            <c:numRef>
              <c:f>'Pivot Table 1'!$B$2:$B$5</c:f>
              <c:numCache/>
            </c:numRef>
          </c:val>
        </c:ser>
        <c:axId val="142700789"/>
        <c:axId val="1692813434"/>
      </c:barChart>
      <c:catAx>
        <c:axId val="1427007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813434"/>
      </c:catAx>
      <c:valAx>
        <c:axId val="16928134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Delay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007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Average Delivery Time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'City pivot table'!$B$1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'City pivot table'!$A$2:$A$7</c:f>
            </c:strRef>
          </c:cat>
          <c:val>
            <c:numRef>
              <c:f>'City pivot table'!$B$2:$B$7</c:f>
              <c:numCache/>
            </c:numRef>
          </c:val>
        </c:ser>
        <c:ser>
          <c:idx val="1"/>
          <c:order val="1"/>
          <c:tx>
            <c:strRef>
              <c:f>'City pivot table'!$C$1</c:f>
            </c:strRef>
          </c:tx>
          <c:cat>
            <c:strRef>
              <c:f>'City pivot table'!$A$2:$A$7</c:f>
            </c:strRef>
          </c:cat>
          <c:val>
            <c:numRef>
              <c:f>'City pivot table'!$C$2:$C$7</c:f>
              <c:numCache/>
            </c:numRef>
          </c:val>
        </c:ser>
        <c:axId val="111220913"/>
        <c:axId val="1221568483"/>
      </c:barChart>
      <c:catAx>
        <c:axId val="111220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568483"/>
      </c:catAx>
      <c:valAx>
        <c:axId val="1221568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220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Arial"/>
              </a:defRPr>
            </a:pPr>
            <a:r>
              <a:rPr b="1">
                <a:solidFill>
                  <a:srgbClr val="666666"/>
                </a:solidFill>
                <a:latin typeface="Arial"/>
              </a:rPr>
              <a:t>On-Time vs Delayed Orders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3'!$A$1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explosion val="25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'Pivot Table 3'!$A$2:$A$6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2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3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23</xdr:row>
      <xdr:rowOff>161925</xdr:rowOff>
    </xdr:from>
    <xdr:ext cx="57245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</xdr:row>
      <xdr:rowOff>190500</xdr:rowOff>
    </xdr:from>
    <xdr:ext cx="5667375" cy="3495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942975</xdr:colOff>
      <xdr:row>3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847725</xdr:colOff>
      <xdr:row>27</xdr:row>
      <xdr:rowOff>9525</xdr:rowOff>
    </xdr:from>
    <xdr:ext cx="5953125" cy="36861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1" sheet="Data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</sharedItems>
    </cacheField>
    <cacheField name="Vendor" numFmtId="0">
      <sharedItems>
        <s v="Vendor C"/>
        <s v="Vendor A"/>
        <s v="Vendor B"/>
      </sharedItems>
    </cacheField>
    <cacheField name="City" numFmtId="0">
      <sharedItems>
        <s v="Hyderabad"/>
        <s v="Chennai"/>
        <s v="Mumbai"/>
        <s v="Bangalore"/>
        <s v="Delhi"/>
      </sharedItems>
    </cacheField>
    <cacheField name="Delivery_Time" numFmtId="0">
      <sharedItems containsSemiMixedTypes="0" containsString="0" containsNumber="1" containsInteger="1">
        <n v="3.0"/>
        <n v="2.0"/>
        <n v="5.0"/>
        <n v="1.0"/>
        <n v="4.0"/>
      </sharedItems>
    </cacheField>
    <cacheField name="Expected_Time" numFmtId="0">
      <sharedItems containsSemiMixedTypes="0" containsString="0" containsNumber="1" containsInteger="1">
        <n v="3.0"/>
        <n v="1.0"/>
        <n v="2.0"/>
      </sharedItems>
    </cacheField>
    <cacheField name="Delay" numFmtId="0">
      <sharedItems containsSemiMixedTypes="0" containsString="0" containsNumber="1" containsInteger="1">
        <n v="0.0"/>
        <n v="1.0"/>
        <n v="2.0"/>
      </sharedItems>
    </cacheField>
    <cacheField name="Cost" numFmtId="0">
      <sharedItems containsSemiMixedTypes="0" containsString="0" containsNumber="1" containsInteger="1">
        <n v="133.0"/>
        <n v="200.0"/>
        <n v="179.0"/>
        <n v="105.0"/>
        <n v="189.0"/>
        <n v="129.0"/>
        <n v="130.0"/>
        <n v="147.0"/>
        <n v="156.0"/>
        <n v="187.0"/>
        <n v="191.0"/>
        <n v="108.0"/>
        <n v="80.0"/>
        <n v="107.0"/>
        <n v="124.0"/>
        <n v="171.0"/>
        <n v="198.0"/>
        <n v="181.0"/>
        <n v="119.0"/>
        <n v="98.0"/>
        <n v="145.0"/>
        <n v="188.0"/>
        <n v="142.0"/>
        <n v="109.0"/>
        <n v="150.0"/>
        <n v="185.0"/>
        <n v="111.0"/>
        <n v="167.0"/>
        <n v="165.0"/>
        <n v="195.0"/>
        <n v="131.0"/>
        <n v="135.0"/>
        <n v="123.0"/>
        <n v="175.0"/>
        <n v="106.0"/>
        <n v="118.0"/>
        <n v="160.0"/>
        <n v="170.0"/>
        <n v="177.0"/>
        <n v="134.0"/>
        <n v="112.0"/>
        <n v="199.0"/>
        <n v="152.0"/>
        <n v="115.0"/>
        <n v="127.0"/>
        <n v="104.0"/>
        <n v="192.0"/>
        <n v="116.0"/>
        <n v="91.0"/>
        <n v="193.0"/>
        <n v="146.0"/>
        <n v="96.0"/>
        <n v="102.0"/>
        <n v="183.0"/>
        <n v="114.0"/>
        <n v="81.0"/>
        <n v="186.0"/>
        <n v="110.0"/>
        <n v="85.0"/>
        <n v="159.0"/>
        <n v="149.0"/>
        <n v="89.0"/>
        <n v="87.0"/>
        <n v="92.0"/>
        <n v="82.0"/>
        <n v="168.0"/>
        <n v="180.0"/>
        <n v="128.0"/>
        <n v="9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5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Vendor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livery_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xpected_Time" compact="0" outline="0" multipleItemSelectionAllowed="1" showAll="0">
      <items>
        <item x="0"/>
        <item x="1"/>
        <item x="2"/>
        <item t="default"/>
      </items>
    </pivotField>
    <pivotField name="Delay" axis="axisRow" compact="0" outline="0" multipleItemSelectionAllowed="1" showAll="0" sortType="ascending">
      <items>
        <item x="0"/>
        <item x="1"/>
        <item x="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>
    <field x="5"/>
  </rowFields>
  <dataFields>
    <dataField name="COUNT of Order_ID" fld="0" subtotal="countNums" baseField="0"/>
  </dataFields>
</pivotTableDefinition>
</file>

<file path=xl/pivotTables/pivotTable2.xml><?xml version="1.0" encoding="utf-8"?>
<pivotTableDefinition xmlns="http://schemas.openxmlformats.org/spreadsheetml/2006/main" name="City pivot table" cacheId="0" dataCaption="" compact="0" compactData="0">
  <location ref="A1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Vendor" compact="0" outline="0" multipleItemSelectionAllowed="1" showAll="0">
      <items>
        <item x="0"/>
        <item x="1"/>
        <item x="2"/>
        <item t="default"/>
      </items>
    </pivotField>
    <pivotField name="City" axis="axisRow" compact="0" outline="0" multipleItemSelectionAllowed="1" showAll="0" sortType="ascending">
      <items>
        <item x="3"/>
        <item x="1"/>
        <item x="4"/>
        <item x="0"/>
        <item x="2"/>
        <item t="default"/>
      </items>
    </pivotField>
    <pivotField name="Delivery_Tim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xpected_Time" compact="0" outline="0" multipleItemSelectionAllowed="1" showAll="0">
      <items>
        <item x="0"/>
        <item x="1"/>
        <item x="2"/>
        <item t="default"/>
      </items>
    </pivotField>
    <pivotField name="Delay" compact="0" outline="0" multipleItemSelectionAllowed="1" showAll="0">
      <items>
        <item x="0"/>
        <item x="1"/>
        <item x="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>
    <field x="2"/>
  </rowFields>
  <dataFields>
    <dataField name="AVERAGE of Delivery_Time" fld="3" subtotal="average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Vendor" axis="axisRow" compact="0" outline="0" multipleItemSelectionAllowed="1" showAll="0" sortType="ascending">
      <items>
        <item x="1"/>
        <item x="2"/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livery_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xpected_Time" compact="0" outline="0" multipleItemSelectionAllowed="1" showAll="0">
      <items>
        <item x="0"/>
        <item x="1"/>
        <item x="2"/>
        <item t="default"/>
      </items>
    </pivotField>
    <pivotField name="Delay" dataField="1" compact="0" outline="0" multipleItemSelectionAllowed="1" showAll="0">
      <items>
        <item x="0"/>
        <item x="1"/>
        <item x="2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>
    <field x="1"/>
  </rowFields>
  <dataFields>
    <dataField name="AVERAGE of Delay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1001.0</v>
      </c>
      <c r="B2" s="1" t="s">
        <v>7</v>
      </c>
      <c r="C2" s="1" t="s">
        <v>8</v>
      </c>
      <c r="D2" s="1">
        <v>3.0</v>
      </c>
      <c r="E2" s="1">
        <v>3.0</v>
      </c>
      <c r="F2" s="1">
        <v>0.0</v>
      </c>
      <c r="G2" s="1">
        <v>133.0</v>
      </c>
    </row>
    <row r="3">
      <c r="A3" s="1">
        <v>1002.0</v>
      </c>
      <c r="B3" s="1" t="s">
        <v>9</v>
      </c>
      <c r="C3" s="1" t="s">
        <v>10</v>
      </c>
      <c r="D3" s="1">
        <v>2.0</v>
      </c>
      <c r="E3" s="1">
        <v>1.0</v>
      </c>
      <c r="F3" s="1">
        <v>1.0</v>
      </c>
      <c r="G3" s="1">
        <v>200.0</v>
      </c>
    </row>
    <row r="4">
      <c r="A4" s="1">
        <v>1003.0</v>
      </c>
      <c r="B4" s="1" t="s">
        <v>9</v>
      </c>
      <c r="C4" s="1" t="s">
        <v>8</v>
      </c>
      <c r="D4" s="1">
        <v>3.0</v>
      </c>
      <c r="E4" s="1">
        <v>3.0</v>
      </c>
      <c r="F4" s="1">
        <v>0.0</v>
      </c>
      <c r="G4" s="1">
        <v>179.0</v>
      </c>
    </row>
    <row r="5">
      <c r="A5" s="1">
        <v>1004.0</v>
      </c>
      <c r="B5" s="1" t="s">
        <v>7</v>
      </c>
      <c r="C5" s="1" t="s">
        <v>10</v>
      </c>
      <c r="D5" s="1">
        <v>5.0</v>
      </c>
      <c r="E5" s="1">
        <v>3.0</v>
      </c>
      <c r="F5" s="1">
        <v>2.0</v>
      </c>
      <c r="G5" s="1">
        <v>105.0</v>
      </c>
    </row>
    <row r="6">
      <c r="A6" s="1">
        <v>1005.0</v>
      </c>
      <c r="B6" s="1" t="s">
        <v>11</v>
      </c>
      <c r="C6" s="1" t="s">
        <v>12</v>
      </c>
      <c r="D6" s="1">
        <v>1.0</v>
      </c>
      <c r="E6" s="1">
        <v>1.0</v>
      </c>
      <c r="F6" s="1">
        <v>0.0</v>
      </c>
      <c r="G6" s="1">
        <v>189.0</v>
      </c>
    </row>
    <row r="7">
      <c r="A7" s="1">
        <v>1006.0</v>
      </c>
      <c r="B7" s="1" t="s">
        <v>7</v>
      </c>
      <c r="C7" s="1" t="s">
        <v>10</v>
      </c>
      <c r="D7" s="1">
        <v>2.0</v>
      </c>
      <c r="E7" s="1">
        <v>2.0</v>
      </c>
      <c r="F7" s="1">
        <v>0.0</v>
      </c>
      <c r="G7" s="1">
        <v>129.0</v>
      </c>
    </row>
    <row r="8">
      <c r="A8" s="1">
        <v>1007.0</v>
      </c>
      <c r="B8" s="1" t="s">
        <v>9</v>
      </c>
      <c r="C8" s="1" t="s">
        <v>10</v>
      </c>
      <c r="D8" s="1">
        <v>3.0</v>
      </c>
      <c r="E8" s="1">
        <v>1.0</v>
      </c>
      <c r="F8" s="1">
        <v>2.0</v>
      </c>
      <c r="G8" s="1">
        <v>130.0</v>
      </c>
    </row>
    <row r="9">
      <c r="A9" s="1">
        <v>1008.0</v>
      </c>
      <c r="B9" s="1" t="s">
        <v>7</v>
      </c>
      <c r="C9" s="1" t="s">
        <v>10</v>
      </c>
      <c r="D9" s="1">
        <v>1.0</v>
      </c>
      <c r="E9" s="1">
        <v>1.0</v>
      </c>
      <c r="F9" s="1">
        <v>0.0</v>
      </c>
      <c r="G9" s="1">
        <v>147.0</v>
      </c>
    </row>
    <row r="10">
      <c r="A10" s="1">
        <v>1009.0</v>
      </c>
      <c r="B10" s="1" t="s">
        <v>7</v>
      </c>
      <c r="C10" s="1" t="s">
        <v>10</v>
      </c>
      <c r="D10" s="1">
        <v>1.0</v>
      </c>
      <c r="E10" s="1">
        <v>1.0</v>
      </c>
      <c r="F10" s="1">
        <v>0.0</v>
      </c>
      <c r="G10" s="1">
        <v>156.0</v>
      </c>
    </row>
    <row r="11">
      <c r="A11" s="1">
        <v>1010.0</v>
      </c>
      <c r="B11" s="1" t="s">
        <v>9</v>
      </c>
      <c r="C11" s="1" t="s">
        <v>12</v>
      </c>
      <c r="D11" s="1">
        <v>1.0</v>
      </c>
      <c r="E11" s="1">
        <v>1.0</v>
      </c>
      <c r="F11" s="1">
        <v>0.0</v>
      </c>
      <c r="G11" s="1">
        <v>200.0</v>
      </c>
    </row>
    <row r="12">
      <c r="A12" s="1">
        <v>1011.0</v>
      </c>
      <c r="B12" s="1" t="s">
        <v>11</v>
      </c>
      <c r="C12" s="1" t="s">
        <v>13</v>
      </c>
      <c r="D12" s="1">
        <v>3.0</v>
      </c>
      <c r="E12" s="1">
        <v>1.0</v>
      </c>
      <c r="F12" s="1">
        <v>2.0</v>
      </c>
      <c r="G12" s="1">
        <v>187.0</v>
      </c>
    </row>
    <row r="13">
      <c r="A13" s="1">
        <v>1012.0</v>
      </c>
      <c r="B13" s="1" t="s">
        <v>9</v>
      </c>
      <c r="C13" s="1" t="s">
        <v>12</v>
      </c>
      <c r="D13" s="1">
        <v>3.0</v>
      </c>
      <c r="E13" s="1">
        <v>3.0</v>
      </c>
      <c r="F13" s="1">
        <v>0.0</v>
      </c>
      <c r="G13" s="1">
        <v>191.0</v>
      </c>
    </row>
    <row r="14">
      <c r="A14" s="1">
        <v>1013.0</v>
      </c>
      <c r="B14" s="1" t="s">
        <v>7</v>
      </c>
      <c r="C14" s="1" t="s">
        <v>14</v>
      </c>
      <c r="D14" s="1">
        <v>3.0</v>
      </c>
      <c r="E14" s="1">
        <v>3.0</v>
      </c>
      <c r="F14" s="1">
        <v>0.0</v>
      </c>
      <c r="G14" s="1">
        <v>108.0</v>
      </c>
    </row>
    <row r="15">
      <c r="A15" s="1">
        <v>1014.0</v>
      </c>
      <c r="B15" s="1" t="s">
        <v>9</v>
      </c>
      <c r="C15" s="1" t="s">
        <v>8</v>
      </c>
      <c r="D15" s="1">
        <v>2.0</v>
      </c>
      <c r="E15" s="1">
        <v>2.0</v>
      </c>
      <c r="F15" s="1">
        <v>0.0</v>
      </c>
      <c r="G15" s="1">
        <v>80.0</v>
      </c>
    </row>
    <row r="16">
      <c r="A16" s="1">
        <v>1015.0</v>
      </c>
      <c r="B16" s="1" t="s">
        <v>11</v>
      </c>
      <c r="C16" s="1" t="s">
        <v>8</v>
      </c>
      <c r="D16" s="1">
        <v>3.0</v>
      </c>
      <c r="E16" s="1">
        <v>3.0</v>
      </c>
      <c r="F16" s="1">
        <v>0.0</v>
      </c>
      <c r="G16" s="1">
        <v>107.0</v>
      </c>
    </row>
    <row r="17">
      <c r="A17" s="1">
        <v>1016.0</v>
      </c>
      <c r="B17" s="1" t="s">
        <v>7</v>
      </c>
      <c r="C17" s="1" t="s">
        <v>10</v>
      </c>
      <c r="D17" s="1">
        <v>3.0</v>
      </c>
      <c r="E17" s="1">
        <v>3.0</v>
      </c>
      <c r="F17" s="1">
        <v>0.0</v>
      </c>
      <c r="G17" s="1">
        <v>124.0</v>
      </c>
    </row>
    <row r="18">
      <c r="A18" s="1">
        <v>1017.0</v>
      </c>
      <c r="B18" s="1" t="s">
        <v>9</v>
      </c>
      <c r="C18" s="1" t="s">
        <v>10</v>
      </c>
      <c r="D18" s="1">
        <v>2.0</v>
      </c>
      <c r="E18" s="1">
        <v>1.0</v>
      </c>
      <c r="F18" s="1">
        <v>1.0</v>
      </c>
      <c r="G18" s="1">
        <v>171.0</v>
      </c>
    </row>
    <row r="19">
      <c r="A19" s="1">
        <v>1018.0</v>
      </c>
      <c r="B19" s="1" t="s">
        <v>9</v>
      </c>
      <c r="C19" s="1" t="s">
        <v>14</v>
      </c>
      <c r="D19" s="1">
        <v>5.0</v>
      </c>
      <c r="E19" s="1">
        <v>3.0</v>
      </c>
      <c r="F19" s="1">
        <v>2.0</v>
      </c>
      <c r="G19" s="1">
        <v>198.0</v>
      </c>
    </row>
    <row r="20">
      <c r="A20" s="1">
        <v>1019.0</v>
      </c>
      <c r="B20" s="1" t="s">
        <v>7</v>
      </c>
      <c r="C20" s="1" t="s">
        <v>13</v>
      </c>
      <c r="D20" s="1">
        <v>4.0</v>
      </c>
      <c r="E20" s="1">
        <v>3.0</v>
      </c>
      <c r="F20" s="1">
        <v>1.0</v>
      </c>
      <c r="G20" s="1">
        <v>181.0</v>
      </c>
    </row>
    <row r="21" ht="15.75" customHeight="1">
      <c r="A21" s="1">
        <v>1020.0</v>
      </c>
      <c r="B21" s="1" t="s">
        <v>7</v>
      </c>
      <c r="C21" s="1" t="s">
        <v>14</v>
      </c>
      <c r="D21" s="1">
        <v>3.0</v>
      </c>
      <c r="E21" s="1">
        <v>2.0</v>
      </c>
      <c r="F21" s="1">
        <v>1.0</v>
      </c>
      <c r="G21" s="1">
        <v>119.0</v>
      </c>
    </row>
    <row r="22" ht="15.75" customHeight="1">
      <c r="A22" s="1">
        <v>1021.0</v>
      </c>
      <c r="B22" s="1" t="s">
        <v>7</v>
      </c>
      <c r="C22" s="1" t="s">
        <v>8</v>
      </c>
      <c r="D22" s="1">
        <v>3.0</v>
      </c>
      <c r="E22" s="1">
        <v>2.0</v>
      </c>
      <c r="F22" s="1">
        <v>1.0</v>
      </c>
      <c r="G22" s="1">
        <v>98.0</v>
      </c>
    </row>
    <row r="23" ht="15.75" customHeight="1">
      <c r="A23" s="1">
        <v>1022.0</v>
      </c>
      <c r="B23" s="1" t="s">
        <v>9</v>
      </c>
      <c r="C23" s="1" t="s">
        <v>12</v>
      </c>
      <c r="D23" s="1">
        <v>1.0</v>
      </c>
      <c r="E23" s="1">
        <v>1.0</v>
      </c>
      <c r="F23" s="1">
        <v>0.0</v>
      </c>
      <c r="G23" s="1">
        <v>145.0</v>
      </c>
    </row>
    <row r="24" ht="15.75" customHeight="1">
      <c r="A24" s="1">
        <v>1023.0</v>
      </c>
      <c r="B24" s="1" t="s">
        <v>7</v>
      </c>
      <c r="C24" s="1" t="s">
        <v>14</v>
      </c>
      <c r="D24" s="1">
        <v>4.0</v>
      </c>
      <c r="E24" s="1">
        <v>2.0</v>
      </c>
      <c r="F24" s="1">
        <v>2.0</v>
      </c>
      <c r="G24" s="1">
        <v>181.0</v>
      </c>
    </row>
    <row r="25" ht="15.75" customHeight="1">
      <c r="A25" s="1">
        <v>1024.0</v>
      </c>
      <c r="B25" s="1" t="s">
        <v>9</v>
      </c>
      <c r="C25" s="1" t="s">
        <v>8</v>
      </c>
      <c r="D25" s="1">
        <v>3.0</v>
      </c>
      <c r="E25" s="1">
        <v>3.0</v>
      </c>
      <c r="F25" s="1">
        <v>0.0</v>
      </c>
      <c r="G25" s="1">
        <v>188.0</v>
      </c>
    </row>
    <row r="26" ht="15.75" customHeight="1">
      <c r="A26" s="1">
        <v>1025.0</v>
      </c>
      <c r="B26" s="1" t="s">
        <v>11</v>
      </c>
      <c r="C26" s="1" t="s">
        <v>10</v>
      </c>
      <c r="D26" s="1">
        <v>3.0</v>
      </c>
      <c r="E26" s="1">
        <v>1.0</v>
      </c>
      <c r="F26" s="1">
        <v>2.0</v>
      </c>
      <c r="G26" s="1">
        <v>142.0</v>
      </c>
    </row>
    <row r="27" ht="15.75" customHeight="1">
      <c r="A27" s="1">
        <v>1026.0</v>
      </c>
      <c r="B27" s="1" t="s">
        <v>7</v>
      </c>
      <c r="C27" s="1" t="s">
        <v>10</v>
      </c>
      <c r="D27" s="1">
        <v>3.0</v>
      </c>
      <c r="E27" s="1">
        <v>3.0</v>
      </c>
      <c r="F27" s="1">
        <v>0.0</v>
      </c>
      <c r="G27" s="1">
        <v>156.0</v>
      </c>
    </row>
    <row r="28" ht="15.75" customHeight="1">
      <c r="A28" s="1">
        <v>1027.0</v>
      </c>
      <c r="B28" s="1" t="s">
        <v>7</v>
      </c>
      <c r="C28" s="1" t="s">
        <v>14</v>
      </c>
      <c r="D28" s="1">
        <v>4.0</v>
      </c>
      <c r="E28" s="1">
        <v>2.0</v>
      </c>
      <c r="F28" s="1">
        <v>2.0</v>
      </c>
      <c r="G28" s="1">
        <v>109.0</v>
      </c>
    </row>
    <row r="29" ht="15.75" customHeight="1">
      <c r="A29" s="1">
        <v>1028.0</v>
      </c>
      <c r="B29" s="1" t="s">
        <v>11</v>
      </c>
      <c r="C29" s="1" t="s">
        <v>14</v>
      </c>
      <c r="D29" s="1">
        <v>3.0</v>
      </c>
      <c r="E29" s="1">
        <v>1.0</v>
      </c>
      <c r="F29" s="1">
        <v>2.0</v>
      </c>
      <c r="G29" s="1">
        <v>119.0</v>
      </c>
    </row>
    <row r="30" ht="15.75" customHeight="1">
      <c r="A30" s="1">
        <v>1029.0</v>
      </c>
      <c r="B30" s="1" t="s">
        <v>7</v>
      </c>
      <c r="C30" s="1" t="s">
        <v>14</v>
      </c>
      <c r="D30" s="1">
        <v>3.0</v>
      </c>
      <c r="E30" s="1">
        <v>1.0</v>
      </c>
      <c r="F30" s="1">
        <v>2.0</v>
      </c>
      <c r="G30" s="1">
        <v>150.0</v>
      </c>
    </row>
    <row r="31" ht="15.75" customHeight="1">
      <c r="A31" s="1">
        <v>1030.0</v>
      </c>
      <c r="B31" s="1" t="s">
        <v>11</v>
      </c>
      <c r="C31" s="1" t="s">
        <v>10</v>
      </c>
      <c r="D31" s="1">
        <v>3.0</v>
      </c>
      <c r="E31" s="1">
        <v>2.0</v>
      </c>
      <c r="F31" s="1">
        <v>1.0</v>
      </c>
      <c r="G31" s="1">
        <v>185.0</v>
      </c>
    </row>
    <row r="32" ht="15.75" customHeight="1">
      <c r="A32" s="1">
        <v>1031.0</v>
      </c>
      <c r="B32" s="1" t="s">
        <v>7</v>
      </c>
      <c r="C32" s="1" t="s">
        <v>14</v>
      </c>
      <c r="D32" s="1">
        <v>1.0</v>
      </c>
      <c r="E32" s="1">
        <v>1.0</v>
      </c>
      <c r="F32" s="1">
        <v>0.0</v>
      </c>
      <c r="G32" s="1">
        <v>111.0</v>
      </c>
    </row>
    <row r="33" ht="15.75" customHeight="1">
      <c r="A33" s="1">
        <v>1032.0</v>
      </c>
      <c r="B33" s="1" t="s">
        <v>11</v>
      </c>
      <c r="C33" s="1" t="s">
        <v>13</v>
      </c>
      <c r="D33" s="1">
        <v>4.0</v>
      </c>
      <c r="E33" s="1">
        <v>3.0</v>
      </c>
      <c r="F33" s="1">
        <v>1.0</v>
      </c>
      <c r="G33" s="1">
        <v>167.0</v>
      </c>
    </row>
    <row r="34" ht="15.75" customHeight="1">
      <c r="A34" s="1">
        <v>1033.0</v>
      </c>
      <c r="B34" s="1" t="s">
        <v>11</v>
      </c>
      <c r="C34" s="1" t="s">
        <v>14</v>
      </c>
      <c r="D34" s="1">
        <v>2.0</v>
      </c>
      <c r="E34" s="1">
        <v>2.0</v>
      </c>
      <c r="F34" s="1">
        <v>0.0</v>
      </c>
      <c r="G34" s="1">
        <v>165.0</v>
      </c>
    </row>
    <row r="35" ht="15.75" customHeight="1">
      <c r="A35" s="1">
        <v>1034.0</v>
      </c>
      <c r="B35" s="1" t="s">
        <v>7</v>
      </c>
      <c r="C35" s="1" t="s">
        <v>13</v>
      </c>
      <c r="D35" s="1">
        <v>3.0</v>
      </c>
      <c r="E35" s="1">
        <v>3.0</v>
      </c>
      <c r="F35" s="1">
        <v>0.0</v>
      </c>
      <c r="G35" s="1">
        <v>195.0</v>
      </c>
    </row>
    <row r="36" ht="15.75" customHeight="1">
      <c r="A36" s="1">
        <v>1035.0</v>
      </c>
      <c r="B36" s="1" t="s">
        <v>9</v>
      </c>
      <c r="C36" s="1" t="s">
        <v>8</v>
      </c>
      <c r="D36" s="1">
        <v>5.0</v>
      </c>
      <c r="E36" s="1">
        <v>3.0</v>
      </c>
      <c r="F36" s="1">
        <v>2.0</v>
      </c>
      <c r="G36" s="1">
        <v>147.0</v>
      </c>
    </row>
    <row r="37" ht="15.75" customHeight="1">
      <c r="A37" s="1">
        <v>1036.0</v>
      </c>
      <c r="B37" s="1" t="s">
        <v>7</v>
      </c>
      <c r="C37" s="1" t="s">
        <v>10</v>
      </c>
      <c r="D37" s="1">
        <v>4.0</v>
      </c>
      <c r="E37" s="1">
        <v>3.0</v>
      </c>
      <c r="F37" s="1">
        <v>1.0</v>
      </c>
      <c r="G37" s="1">
        <v>131.0</v>
      </c>
    </row>
    <row r="38" ht="15.75" customHeight="1">
      <c r="A38" s="1">
        <v>1037.0</v>
      </c>
      <c r="B38" s="1" t="s">
        <v>7</v>
      </c>
      <c r="C38" s="1" t="s">
        <v>8</v>
      </c>
      <c r="D38" s="1">
        <v>1.0</v>
      </c>
      <c r="E38" s="1">
        <v>1.0</v>
      </c>
      <c r="F38" s="1">
        <v>0.0</v>
      </c>
      <c r="G38" s="1">
        <v>131.0</v>
      </c>
    </row>
    <row r="39" ht="15.75" customHeight="1">
      <c r="A39" s="1">
        <v>1038.0</v>
      </c>
      <c r="B39" s="1" t="s">
        <v>11</v>
      </c>
      <c r="C39" s="1" t="s">
        <v>14</v>
      </c>
      <c r="D39" s="1">
        <v>5.0</v>
      </c>
      <c r="E39" s="1">
        <v>3.0</v>
      </c>
      <c r="F39" s="1">
        <v>2.0</v>
      </c>
      <c r="G39" s="1">
        <v>135.0</v>
      </c>
    </row>
    <row r="40" ht="15.75" customHeight="1">
      <c r="A40" s="1">
        <v>1039.0</v>
      </c>
      <c r="B40" s="1" t="s">
        <v>11</v>
      </c>
      <c r="C40" s="1" t="s">
        <v>12</v>
      </c>
      <c r="D40" s="1">
        <v>2.0</v>
      </c>
      <c r="E40" s="1">
        <v>2.0</v>
      </c>
      <c r="F40" s="1">
        <v>0.0</v>
      </c>
      <c r="G40" s="1">
        <v>123.0</v>
      </c>
    </row>
    <row r="41" ht="15.75" customHeight="1">
      <c r="A41" s="1">
        <v>1040.0</v>
      </c>
      <c r="B41" s="1" t="s">
        <v>7</v>
      </c>
      <c r="C41" s="1" t="s">
        <v>14</v>
      </c>
      <c r="D41" s="1">
        <v>2.0</v>
      </c>
      <c r="E41" s="1">
        <v>1.0</v>
      </c>
      <c r="F41" s="1">
        <v>1.0</v>
      </c>
      <c r="G41" s="1">
        <v>175.0</v>
      </c>
    </row>
    <row r="42" ht="15.75" customHeight="1">
      <c r="A42" s="1">
        <v>1041.0</v>
      </c>
      <c r="B42" s="1" t="s">
        <v>9</v>
      </c>
      <c r="C42" s="1" t="s">
        <v>14</v>
      </c>
      <c r="D42" s="1">
        <v>5.0</v>
      </c>
      <c r="E42" s="1">
        <v>3.0</v>
      </c>
      <c r="F42" s="1">
        <v>2.0</v>
      </c>
      <c r="G42" s="1">
        <v>105.0</v>
      </c>
    </row>
    <row r="43" ht="15.75" customHeight="1">
      <c r="A43" s="1">
        <v>1042.0</v>
      </c>
      <c r="B43" s="1" t="s">
        <v>7</v>
      </c>
      <c r="C43" s="1" t="s">
        <v>13</v>
      </c>
      <c r="D43" s="1">
        <v>5.0</v>
      </c>
      <c r="E43" s="1">
        <v>3.0</v>
      </c>
      <c r="F43" s="1">
        <v>2.0</v>
      </c>
      <c r="G43" s="1">
        <v>106.0</v>
      </c>
    </row>
    <row r="44" ht="15.75" customHeight="1">
      <c r="A44" s="1">
        <v>1043.0</v>
      </c>
      <c r="B44" s="1" t="s">
        <v>9</v>
      </c>
      <c r="C44" s="1" t="s">
        <v>10</v>
      </c>
      <c r="D44" s="1">
        <v>3.0</v>
      </c>
      <c r="E44" s="1">
        <v>2.0</v>
      </c>
      <c r="F44" s="1">
        <v>1.0</v>
      </c>
      <c r="G44" s="1">
        <v>118.0</v>
      </c>
    </row>
    <row r="45" ht="15.75" customHeight="1">
      <c r="A45" s="1">
        <v>1044.0</v>
      </c>
      <c r="B45" s="1" t="s">
        <v>11</v>
      </c>
      <c r="C45" s="1" t="s">
        <v>10</v>
      </c>
      <c r="D45" s="1">
        <v>2.0</v>
      </c>
      <c r="E45" s="1">
        <v>2.0</v>
      </c>
      <c r="F45" s="1">
        <v>0.0</v>
      </c>
      <c r="G45" s="1">
        <v>160.0</v>
      </c>
    </row>
    <row r="46" ht="15.75" customHeight="1">
      <c r="A46" s="1">
        <v>1045.0</v>
      </c>
      <c r="B46" s="1" t="s">
        <v>11</v>
      </c>
      <c r="C46" s="1" t="s">
        <v>8</v>
      </c>
      <c r="D46" s="1">
        <v>2.0</v>
      </c>
      <c r="E46" s="1">
        <v>1.0</v>
      </c>
      <c r="F46" s="1">
        <v>1.0</v>
      </c>
      <c r="G46" s="1">
        <v>170.0</v>
      </c>
    </row>
    <row r="47" ht="15.75" customHeight="1">
      <c r="A47" s="1">
        <v>1046.0</v>
      </c>
      <c r="B47" s="1" t="s">
        <v>11</v>
      </c>
      <c r="C47" s="1" t="s">
        <v>8</v>
      </c>
      <c r="D47" s="1">
        <v>5.0</v>
      </c>
      <c r="E47" s="1">
        <v>3.0</v>
      </c>
      <c r="F47" s="1">
        <v>2.0</v>
      </c>
      <c r="G47" s="1">
        <v>177.0</v>
      </c>
    </row>
    <row r="48" ht="15.75" customHeight="1">
      <c r="A48" s="1">
        <v>1047.0</v>
      </c>
      <c r="B48" s="1" t="s">
        <v>7</v>
      </c>
      <c r="C48" s="1" t="s">
        <v>14</v>
      </c>
      <c r="D48" s="1">
        <v>3.0</v>
      </c>
      <c r="E48" s="1">
        <v>1.0</v>
      </c>
      <c r="F48" s="1">
        <v>2.0</v>
      </c>
      <c r="G48" s="1">
        <v>191.0</v>
      </c>
    </row>
    <row r="49" ht="15.75" customHeight="1">
      <c r="A49" s="1">
        <v>1048.0</v>
      </c>
      <c r="B49" s="1" t="s">
        <v>9</v>
      </c>
      <c r="C49" s="1" t="s">
        <v>8</v>
      </c>
      <c r="D49" s="1">
        <v>4.0</v>
      </c>
      <c r="E49" s="1">
        <v>2.0</v>
      </c>
      <c r="F49" s="1">
        <v>2.0</v>
      </c>
      <c r="G49" s="1">
        <v>134.0</v>
      </c>
    </row>
    <row r="50" ht="15.75" customHeight="1">
      <c r="A50" s="1">
        <v>1049.0</v>
      </c>
      <c r="B50" s="1" t="s">
        <v>11</v>
      </c>
      <c r="C50" s="1" t="s">
        <v>13</v>
      </c>
      <c r="D50" s="1">
        <v>4.0</v>
      </c>
      <c r="E50" s="1">
        <v>3.0</v>
      </c>
      <c r="F50" s="1">
        <v>1.0</v>
      </c>
      <c r="G50" s="1">
        <v>124.0</v>
      </c>
    </row>
    <row r="51" ht="15.75" customHeight="1">
      <c r="A51" s="1">
        <v>1050.0</v>
      </c>
      <c r="B51" s="1" t="s">
        <v>7</v>
      </c>
      <c r="C51" s="1" t="s">
        <v>8</v>
      </c>
      <c r="D51" s="1">
        <v>3.0</v>
      </c>
      <c r="E51" s="1">
        <v>3.0</v>
      </c>
      <c r="F51" s="1">
        <v>0.0</v>
      </c>
      <c r="G51" s="1">
        <v>171.0</v>
      </c>
    </row>
    <row r="52" ht="15.75" customHeight="1">
      <c r="A52" s="1">
        <v>1051.0</v>
      </c>
      <c r="B52" s="1" t="s">
        <v>7</v>
      </c>
      <c r="C52" s="1" t="s">
        <v>12</v>
      </c>
      <c r="D52" s="1">
        <v>2.0</v>
      </c>
      <c r="E52" s="1">
        <v>2.0</v>
      </c>
      <c r="F52" s="1">
        <v>0.0</v>
      </c>
      <c r="G52" s="1">
        <v>112.0</v>
      </c>
    </row>
    <row r="53" ht="15.75" customHeight="1">
      <c r="A53" s="1">
        <v>1052.0</v>
      </c>
      <c r="B53" s="1" t="s">
        <v>7</v>
      </c>
      <c r="C53" s="1" t="s">
        <v>13</v>
      </c>
      <c r="D53" s="1">
        <v>1.0</v>
      </c>
      <c r="E53" s="1">
        <v>1.0</v>
      </c>
      <c r="F53" s="1">
        <v>0.0</v>
      </c>
      <c r="G53" s="1">
        <v>199.0</v>
      </c>
    </row>
    <row r="54" ht="15.75" customHeight="1">
      <c r="A54" s="1">
        <v>1053.0</v>
      </c>
      <c r="B54" s="1" t="s">
        <v>11</v>
      </c>
      <c r="C54" s="1" t="s">
        <v>14</v>
      </c>
      <c r="D54" s="1">
        <v>3.0</v>
      </c>
      <c r="E54" s="1">
        <v>3.0</v>
      </c>
      <c r="F54" s="1">
        <v>0.0</v>
      </c>
      <c r="G54" s="1">
        <v>152.0</v>
      </c>
    </row>
    <row r="55" ht="15.75" customHeight="1">
      <c r="A55" s="1">
        <v>1054.0</v>
      </c>
      <c r="B55" s="1" t="s">
        <v>7</v>
      </c>
      <c r="C55" s="1" t="s">
        <v>13</v>
      </c>
      <c r="D55" s="1">
        <v>3.0</v>
      </c>
      <c r="E55" s="1">
        <v>2.0</v>
      </c>
      <c r="F55" s="1">
        <v>1.0</v>
      </c>
      <c r="G55" s="1">
        <v>115.0</v>
      </c>
    </row>
    <row r="56" ht="15.75" customHeight="1">
      <c r="A56" s="1">
        <v>1055.0</v>
      </c>
      <c r="B56" s="1" t="s">
        <v>11</v>
      </c>
      <c r="C56" s="1" t="s">
        <v>14</v>
      </c>
      <c r="D56" s="1">
        <v>5.0</v>
      </c>
      <c r="E56" s="1">
        <v>3.0</v>
      </c>
      <c r="F56" s="1">
        <v>2.0</v>
      </c>
      <c r="G56" s="1">
        <v>127.0</v>
      </c>
    </row>
    <row r="57" ht="15.75" customHeight="1">
      <c r="A57" s="1">
        <v>1056.0</v>
      </c>
      <c r="B57" s="1" t="s">
        <v>7</v>
      </c>
      <c r="C57" s="1" t="s">
        <v>10</v>
      </c>
      <c r="D57" s="1">
        <v>2.0</v>
      </c>
      <c r="E57" s="1">
        <v>2.0</v>
      </c>
      <c r="F57" s="1">
        <v>0.0</v>
      </c>
      <c r="G57" s="1">
        <v>104.0</v>
      </c>
    </row>
    <row r="58" ht="15.75" customHeight="1">
      <c r="A58" s="1">
        <v>1057.0</v>
      </c>
      <c r="B58" s="1" t="s">
        <v>11</v>
      </c>
      <c r="C58" s="1" t="s">
        <v>8</v>
      </c>
      <c r="D58" s="1">
        <v>4.0</v>
      </c>
      <c r="E58" s="1">
        <v>3.0</v>
      </c>
      <c r="F58" s="1">
        <v>1.0</v>
      </c>
      <c r="G58" s="1">
        <v>192.0</v>
      </c>
    </row>
    <row r="59" ht="15.75" customHeight="1">
      <c r="A59" s="1">
        <v>1058.0</v>
      </c>
      <c r="B59" s="1" t="s">
        <v>11</v>
      </c>
      <c r="C59" s="1" t="s">
        <v>12</v>
      </c>
      <c r="D59" s="1">
        <v>2.0</v>
      </c>
      <c r="E59" s="1">
        <v>2.0</v>
      </c>
      <c r="F59" s="1">
        <v>0.0</v>
      </c>
      <c r="G59" s="1">
        <v>116.0</v>
      </c>
    </row>
    <row r="60" ht="15.75" customHeight="1">
      <c r="A60" s="1">
        <v>1059.0</v>
      </c>
      <c r="B60" s="1" t="s">
        <v>7</v>
      </c>
      <c r="C60" s="1" t="s">
        <v>14</v>
      </c>
      <c r="D60" s="1">
        <v>2.0</v>
      </c>
      <c r="E60" s="1">
        <v>2.0</v>
      </c>
      <c r="F60" s="1">
        <v>0.0</v>
      </c>
      <c r="G60" s="1">
        <v>160.0</v>
      </c>
    </row>
    <row r="61" ht="15.75" customHeight="1">
      <c r="A61" s="1">
        <v>1060.0</v>
      </c>
      <c r="B61" s="1" t="s">
        <v>9</v>
      </c>
      <c r="C61" s="1" t="s">
        <v>13</v>
      </c>
      <c r="D61" s="1">
        <v>3.0</v>
      </c>
      <c r="E61" s="1">
        <v>1.0</v>
      </c>
      <c r="F61" s="1">
        <v>2.0</v>
      </c>
      <c r="G61" s="1">
        <v>165.0</v>
      </c>
    </row>
    <row r="62" ht="15.75" customHeight="1">
      <c r="A62" s="1">
        <v>1061.0</v>
      </c>
      <c r="B62" s="1" t="s">
        <v>9</v>
      </c>
      <c r="C62" s="1" t="s">
        <v>12</v>
      </c>
      <c r="D62" s="1">
        <v>2.0</v>
      </c>
      <c r="E62" s="1">
        <v>2.0</v>
      </c>
      <c r="F62" s="1">
        <v>0.0</v>
      </c>
      <c r="G62" s="1">
        <v>91.0</v>
      </c>
    </row>
    <row r="63" ht="15.75" customHeight="1">
      <c r="A63" s="1">
        <v>1062.0</v>
      </c>
      <c r="B63" s="1" t="s">
        <v>7</v>
      </c>
      <c r="C63" s="1" t="s">
        <v>10</v>
      </c>
      <c r="D63" s="1">
        <v>4.0</v>
      </c>
      <c r="E63" s="1">
        <v>2.0</v>
      </c>
      <c r="F63" s="1">
        <v>2.0</v>
      </c>
      <c r="G63" s="1">
        <v>187.0</v>
      </c>
    </row>
    <row r="64" ht="15.75" customHeight="1">
      <c r="A64" s="1">
        <v>1063.0</v>
      </c>
      <c r="B64" s="1" t="s">
        <v>9</v>
      </c>
      <c r="C64" s="1" t="s">
        <v>14</v>
      </c>
      <c r="D64" s="1">
        <v>2.0</v>
      </c>
      <c r="E64" s="1">
        <v>2.0</v>
      </c>
      <c r="F64" s="1">
        <v>0.0</v>
      </c>
      <c r="G64" s="1">
        <v>193.0</v>
      </c>
    </row>
    <row r="65" ht="15.75" customHeight="1">
      <c r="A65" s="1">
        <v>1064.0</v>
      </c>
      <c r="B65" s="1" t="s">
        <v>7</v>
      </c>
      <c r="C65" s="1" t="s">
        <v>14</v>
      </c>
      <c r="D65" s="1">
        <v>3.0</v>
      </c>
      <c r="E65" s="1">
        <v>3.0</v>
      </c>
      <c r="F65" s="1">
        <v>0.0</v>
      </c>
      <c r="G65" s="1">
        <v>179.0</v>
      </c>
    </row>
    <row r="66" ht="15.75" customHeight="1">
      <c r="A66" s="1">
        <v>1065.0</v>
      </c>
      <c r="B66" s="1" t="s">
        <v>7</v>
      </c>
      <c r="C66" s="1" t="s">
        <v>14</v>
      </c>
      <c r="D66" s="1">
        <v>1.0</v>
      </c>
      <c r="E66" s="1">
        <v>1.0</v>
      </c>
      <c r="F66" s="1">
        <v>0.0</v>
      </c>
      <c r="G66" s="1">
        <v>91.0</v>
      </c>
    </row>
    <row r="67" ht="15.75" customHeight="1">
      <c r="A67" s="1">
        <v>1066.0</v>
      </c>
      <c r="B67" s="1" t="s">
        <v>11</v>
      </c>
      <c r="C67" s="1" t="s">
        <v>10</v>
      </c>
      <c r="D67" s="1">
        <v>2.0</v>
      </c>
      <c r="E67" s="1">
        <v>2.0</v>
      </c>
      <c r="F67" s="1">
        <v>0.0</v>
      </c>
      <c r="G67" s="1">
        <v>146.0</v>
      </c>
    </row>
    <row r="68" ht="15.75" customHeight="1">
      <c r="A68" s="1">
        <v>1067.0</v>
      </c>
      <c r="B68" s="1" t="s">
        <v>11</v>
      </c>
      <c r="C68" s="1" t="s">
        <v>12</v>
      </c>
      <c r="D68" s="1">
        <v>2.0</v>
      </c>
      <c r="E68" s="1">
        <v>2.0</v>
      </c>
      <c r="F68" s="1">
        <v>0.0</v>
      </c>
      <c r="G68" s="1">
        <v>96.0</v>
      </c>
    </row>
    <row r="69" ht="15.75" customHeight="1">
      <c r="A69" s="1">
        <v>1068.0</v>
      </c>
      <c r="B69" s="1" t="s">
        <v>11</v>
      </c>
      <c r="C69" s="1" t="s">
        <v>12</v>
      </c>
      <c r="D69" s="1">
        <v>4.0</v>
      </c>
      <c r="E69" s="1">
        <v>3.0</v>
      </c>
      <c r="F69" s="1">
        <v>1.0</v>
      </c>
      <c r="G69" s="1">
        <v>102.0</v>
      </c>
    </row>
    <row r="70" ht="15.75" customHeight="1">
      <c r="A70" s="1">
        <v>1069.0</v>
      </c>
      <c r="B70" s="1" t="s">
        <v>11</v>
      </c>
      <c r="C70" s="1" t="s">
        <v>14</v>
      </c>
      <c r="D70" s="1">
        <v>3.0</v>
      </c>
      <c r="E70" s="1">
        <v>1.0</v>
      </c>
      <c r="F70" s="1">
        <v>2.0</v>
      </c>
      <c r="G70" s="1">
        <v>187.0</v>
      </c>
    </row>
    <row r="71" ht="15.75" customHeight="1">
      <c r="A71" s="1">
        <v>1070.0</v>
      </c>
      <c r="B71" s="1" t="s">
        <v>7</v>
      </c>
      <c r="C71" s="1" t="s">
        <v>12</v>
      </c>
      <c r="D71" s="1">
        <v>2.0</v>
      </c>
      <c r="E71" s="1">
        <v>2.0</v>
      </c>
      <c r="F71" s="1">
        <v>0.0</v>
      </c>
      <c r="G71" s="1">
        <v>183.0</v>
      </c>
    </row>
    <row r="72" ht="15.75" customHeight="1">
      <c r="A72" s="1">
        <v>1071.0</v>
      </c>
      <c r="B72" s="1" t="s">
        <v>9</v>
      </c>
      <c r="C72" s="1" t="s">
        <v>12</v>
      </c>
      <c r="D72" s="1">
        <v>4.0</v>
      </c>
      <c r="E72" s="1">
        <v>2.0</v>
      </c>
      <c r="F72" s="1">
        <v>2.0</v>
      </c>
      <c r="G72" s="1">
        <v>114.0</v>
      </c>
    </row>
    <row r="73" ht="15.75" customHeight="1">
      <c r="A73" s="1">
        <v>1072.0</v>
      </c>
      <c r="B73" s="1" t="s">
        <v>11</v>
      </c>
      <c r="C73" s="1" t="s">
        <v>13</v>
      </c>
      <c r="D73" s="1">
        <v>2.0</v>
      </c>
      <c r="E73" s="1">
        <v>1.0</v>
      </c>
      <c r="F73" s="1">
        <v>1.0</v>
      </c>
      <c r="G73" s="1">
        <v>81.0</v>
      </c>
    </row>
    <row r="74" ht="15.75" customHeight="1">
      <c r="A74" s="1">
        <v>1073.0</v>
      </c>
      <c r="B74" s="1" t="s">
        <v>7</v>
      </c>
      <c r="C74" s="1" t="s">
        <v>13</v>
      </c>
      <c r="D74" s="1">
        <v>1.0</v>
      </c>
      <c r="E74" s="1">
        <v>1.0</v>
      </c>
      <c r="F74" s="1">
        <v>0.0</v>
      </c>
      <c r="G74" s="1">
        <v>98.0</v>
      </c>
    </row>
    <row r="75" ht="15.75" customHeight="1">
      <c r="A75" s="1">
        <v>1074.0</v>
      </c>
      <c r="B75" s="1" t="s">
        <v>11</v>
      </c>
      <c r="C75" s="1" t="s">
        <v>10</v>
      </c>
      <c r="D75" s="1">
        <v>1.0</v>
      </c>
      <c r="E75" s="1">
        <v>1.0</v>
      </c>
      <c r="F75" s="1">
        <v>0.0</v>
      </c>
      <c r="G75" s="1">
        <v>198.0</v>
      </c>
    </row>
    <row r="76" ht="15.75" customHeight="1">
      <c r="A76" s="1">
        <v>1075.0</v>
      </c>
      <c r="B76" s="1" t="s">
        <v>7</v>
      </c>
      <c r="C76" s="1" t="s">
        <v>10</v>
      </c>
      <c r="D76" s="1">
        <v>3.0</v>
      </c>
      <c r="E76" s="1">
        <v>1.0</v>
      </c>
      <c r="F76" s="1">
        <v>2.0</v>
      </c>
      <c r="G76" s="1">
        <v>186.0</v>
      </c>
    </row>
    <row r="77" ht="15.75" customHeight="1">
      <c r="A77" s="1">
        <v>1076.0</v>
      </c>
      <c r="B77" s="1" t="s">
        <v>11</v>
      </c>
      <c r="C77" s="1" t="s">
        <v>13</v>
      </c>
      <c r="D77" s="1">
        <v>2.0</v>
      </c>
      <c r="E77" s="1">
        <v>1.0</v>
      </c>
      <c r="F77" s="1">
        <v>1.0</v>
      </c>
      <c r="G77" s="1">
        <v>110.0</v>
      </c>
    </row>
    <row r="78" ht="15.75" customHeight="1">
      <c r="A78" s="1">
        <v>1077.0</v>
      </c>
      <c r="B78" s="1" t="s">
        <v>7</v>
      </c>
      <c r="C78" s="1" t="s">
        <v>13</v>
      </c>
      <c r="D78" s="1">
        <v>2.0</v>
      </c>
      <c r="E78" s="1">
        <v>2.0</v>
      </c>
      <c r="F78" s="1">
        <v>0.0</v>
      </c>
      <c r="G78" s="1">
        <v>85.0</v>
      </c>
    </row>
    <row r="79" ht="15.75" customHeight="1">
      <c r="A79" s="1">
        <v>1078.0</v>
      </c>
      <c r="B79" s="1" t="s">
        <v>9</v>
      </c>
      <c r="C79" s="1" t="s">
        <v>8</v>
      </c>
      <c r="D79" s="1">
        <v>5.0</v>
      </c>
      <c r="E79" s="1">
        <v>3.0</v>
      </c>
      <c r="F79" s="1">
        <v>2.0</v>
      </c>
      <c r="G79" s="1">
        <v>159.0</v>
      </c>
    </row>
    <row r="80" ht="15.75" customHeight="1">
      <c r="A80" s="1">
        <v>1079.0</v>
      </c>
      <c r="B80" s="1" t="s">
        <v>9</v>
      </c>
      <c r="C80" s="1" t="s">
        <v>13</v>
      </c>
      <c r="D80" s="1">
        <v>3.0</v>
      </c>
      <c r="E80" s="1">
        <v>3.0</v>
      </c>
      <c r="F80" s="1">
        <v>0.0</v>
      </c>
      <c r="G80" s="1">
        <v>149.0</v>
      </c>
    </row>
    <row r="81" ht="15.75" customHeight="1">
      <c r="A81" s="1">
        <v>1080.0</v>
      </c>
      <c r="B81" s="1" t="s">
        <v>7</v>
      </c>
      <c r="C81" s="1" t="s">
        <v>14</v>
      </c>
      <c r="D81" s="1">
        <v>5.0</v>
      </c>
      <c r="E81" s="1">
        <v>3.0</v>
      </c>
      <c r="F81" s="1">
        <v>2.0</v>
      </c>
      <c r="G81" s="1">
        <v>91.0</v>
      </c>
    </row>
    <row r="82" ht="15.75" customHeight="1">
      <c r="A82" s="1">
        <v>1081.0</v>
      </c>
      <c r="B82" s="1" t="s">
        <v>9</v>
      </c>
      <c r="C82" s="1" t="s">
        <v>14</v>
      </c>
      <c r="D82" s="1">
        <v>4.0</v>
      </c>
      <c r="E82" s="1">
        <v>2.0</v>
      </c>
      <c r="F82" s="1">
        <v>2.0</v>
      </c>
      <c r="G82" s="1">
        <v>193.0</v>
      </c>
    </row>
    <row r="83" ht="15.75" customHeight="1">
      <c r="A83" s="1">
        <v>1082.0</v>
      </c>
      <c r="B83" s="1" t="s">
        <v>9</v>
      </c>
      <c r="C83" s="1" t="s">
        <v>13</v>
      </c>
      <c r="D83" s="1">
        <v>2.0</v>
      </c>
      <c r="E83" s="1">
        <v>2.0</v>
      </c>
      <c r="F83" s="1">
        <v>0.0</v>
      </c>
      <c r="G83" s="1">
        <v>185.0</v>
      </c>
    </row>
    <row r="84" ht="15.75" customHeight="1">
      <c r="A84" s="1">
        <v>1083.0</v>
      </c>
      <c r="B84" s="1" t="s">
        <v>11</v>
      </c>
      <c r="C84" s="1" t="s">
        <v>8</v>
      </c>
      <c r="D84" s="1">
        <v>2.0</v>
      </c>
      <c r="E84" s="1">
        <v>1.0</v>
      </c>
      <c r="F84" s="1">
        <v>1.0</v>
      </c>
      <c r="G84" s="1">
        <v>89.0</v>
      </c>
    </row>
    <row r="85" ht="15.75" customHeight="1">
      <c r="A85" s="1">
        <v>1084.0</v>
      </c>
      <c r="B85" s="1" t="s">
        <v>7</v>
      </c>
      <c r="C85" s="1" t="s">
        <v>8</v>
      </c>
      <c r="D85" s="1">
        <v>2.0</v>
      </c>
      <c r="E85" s="1">
        <v>2.0</v>
      </c>
      <c r="F85" s="1">
        <v>0.0</v>
      </c>
      <c r="G85" s="1">
        <v>186.0</v>
      </c>
    </row>
    <row r="86" ht="15.75" customHeight="1">
      <c r="A86" s="1">
        <v>1085.0</v>
      </c>
      <c r="B86" s="1" t="s">
        <v>11</v>
      </c>
      <c r="C86" s="1" t="s">
        <v>14</v>
      </c>
      <c r="D86" s="1">
        <v>2.0</v>
      </c>
      <c r="E86" s="1">
        <v>2.0</v>
      </c>
      <c r="F86" s="1">
        <v>0.0</v>
      </c>
      <c r="G86" s="1">
        <v>145.0</v>
      </c>
    </row>
    <row r="87" ht="15.75" customHeight="1">
      <c r="A87" s="1">
        <v>1086.0</v>
      </c>
      <c r="B87" s="1" t="s">
        <v>9</v>
      </c>
      <c r="C87" s="1" t="s">
        <v>10</v>
      </c>
      <c r="D87" s="1">
        <v>3.0</v>
      </c>
      <c r="E87" s="1">
        <v>3.0</v>
      </c>
      <c r="F87" s="1">
        <v>0.0</v>
      </c>
      <c r="G87" s="1">
        <v>146.0</v>
      </c>
    </row>
    <row r="88" ht="15.75" customHeight="1">
      <c r="A88" s="1">
        <v>1087.0</v>
      </c>
      <c r="B88" s="1" t="s">
        <v>11</v>
      </c>
      <c r="C88" s="1" t="s">
        <v>10</v>
      </c>
      <c r="D88" s="1">
        <v>4.0</v>
      </c>
      <c r="E88" s="1">
        <v>3.0</v>
      </c>
      <c r="F88" s="1">
        <v>1.0</v>
      </c>
      <c r="G88" s="1">
        <v>87.0</v>
      </c>
    </row>
    <row r="89" ht="15.75" customHeight="1">
      <c r="A89" s="1">
        <v>1088.0</v>
      </c>
      <c r="B89" s="1" t="s">
        <v>11</v>
      </c>
      <c r="C89" s="1" t="s">
        <v>14</v>
      </c>
      <c r="D89" s="1">
        <v>5.0</v>
      </c>
      <c r="E89" s="1">
        <v>3.0</v>
      </c>
      <c r="F89" s="1">
        <v>2.0</v>
      </c>
      <c r="G89" s="1">
        <v>175.0</v>
      </c>
    </row>
    <row r="90" ht="15.75" customHeight="1">
      <c r="A90" s="1">
        <v>1089.0</v>
      </c>
      <c r="B90" s="1" t="s">
        <v>11</v>
      </c>
      <c r="C90" s="1" t="s">
        <v>10</v>
      </c>
      <c r="D90" s="1">
        <v>3.0</v>
      </c>
      <c r="E90" s="1">
        <v>3.0</v>
      </c>
      <c r="F90" s="1">
        <v>0.0</v>
      </c>
      <c r="G90" s="1">
        <v>85.0</v>
      </c>
    </row>
    <row r="91" ht="15.75" customHeight="1">
      <c r="A91" s="1">
        <v>1090.0</v>
      </c>
      <c r="B91" s="1" t="s">
        <v>7</v>
      </c>
      <c r="C91" s="1" t="s">
        <v>14</v>
      </c>
      <c r="D91" s="1">
        <v>3.0</v>
      </c>
      <c r="E91" s="1">
        <v>3.0</v>
      </c>
      <c r="F91" s="1">
        <v>0.0</v>
      </c>
      <c r="G91" s="1">
        <v>110.0</v>
      </c>
    </row>
    <row r="92" ht="15.75" customHeight="1">
      <c r="A92" s="1">
        <v>1091.0</v>
      </c>
      <c r="B92" s="1" t="s">
        <v>9</v>
      </c>
      <c r="C92" s="1" t="s">
        <v>12</v>
      </c>
      <c r="D92" s="1">
        <v>3.0</v>
      </c>
      <c r="E92" s="1">
        <v>1.0</v>
      </c>
      <c r="F92" s="1">
        <v>2.0</v>
      </c>
      <c r="G92" s="1">
        <v>92.0</v>
      </c>
    </row>
    <row r="93" ht="15.75" customHeight="1">
      <c r="A93" s="1">
        <v>1092.0</v>
      </c>
      <c r="B93" s="1" t="s">
        <v>9</v>
      </c>
      <c r="C93" s="1" t="s">
        <v>8</v>
      </c>
      <c r="D93" s="1">
        <v>4.0</v>
      </c>
      <c r="E93" s="1">
        <v>2.0</v>
      </c>
      <c r="F93" s="1">
        <v>2.0</v>
      </c>
      <c r="G93" s="1">
        <v>82.0</v>
      </c>
    </row>
    <row r="94" ht="15.75" customHeight="1">
      <c r="A94" s="1">
        <v>1093.0</v>
      </c>
      <c r="B94" s="1" t="s">
        <v>7</v>
      </c>
      <c r="C94" s="1" t="s">
        <v>8</v>
      </c>
      <c r="D94" s="1">
        <v>1.0</v>
      </c>
      <c r="E94" s="1">
        <v>1.0</v>
      </c>
      <c r="F94" s="1">
        <v>0.0</v>
      </c>
      <c r="G94" s="1">
        <v>193.0</v>
      </c>
    </row>
    <row r="95" ht="15.75" customHeight="1">
      <c r="A95" s="1">
        <v>1094.0</v>
      </c>
      <c r="B95" s="1" t="s">
        <v>7</v>
      </c>
      <c r="C95" s="1" t="s">
        <v>10</v>
      </c>
      <c r="D95" s="1">
        <v>3.0</v>
      </c>
      <c r="E95" s="1">
        <v>3.0</v>
      </c>
      <c r="F95" s="1">
        <v>0.0</v>
      </c>
      <c r="G95" s="1">
        <v>168.0</v>
      </c>
    </row>
    <row r="96" ht="15.75" customHeight="1">
      <c r="A96" s="1">
        <v>1095.0</v>
      </c>
      <c r="B96" s="1" t="s">
        <v>9</v>
      </c>
      <c r="C96" s="1" t="s">
        <v>12</v>
      </c>
      <c r="D96" s="1">
        <v>2.0</v>
      </c>
      <c r="E96" s="1">
        <v>2.0</v>
      </c>
      <c r="F96" s="1">
        <v>0.0</v>
      </c>
      <c r="G96" s="1">
        <v>89.0</v>
      </c>
    </row>
    <row r="97" ht="15.75" customHeight="1">
      <c r="A97" s="1">
        <v>1096.0</v>
      </c>
      <c r="B97" s="1" t="s">
        <v>9</v>
      </c>
      <c r="C97" s="1" t="s">
        <v>12</v>
      </c>
      <c r="D97" s="1">
        <v>4.0</v>
      </c>
      <c r="E97" s="1">
        <v>2.0</v>
      </c>
      <c r="F97" s="1">
        <v>2.0</v>
      </c>
      <c r="G97" s="1">
        <v>165.0</v>
      </c>
    </row>
    <row r="98" ht="15.75" customHeight="1">
      <c r="A98" s="1">
        <v>1097.0</v>
      </c>
      <c r="B98" s="1" t="s">
        <v>11</v>
      </c>
      <c r="C98" s="1" t="s">
        <v>10</v>
      </c>
      <c r="D98" s="1">
        <v>3.0</v>
      </c>
      <c r="E98" s="1">
        <v>2.0</v>
      </c>
      <c r="F98" s="1">
        <v>1.0</v>
      </c>
      <c r="G98" s="1">
        <v>180.0</v>
      </c>
    </row>
    <row r="99" ht="15.75" customHeight="1">
      <c r="A99" s="1">
        <v>1098.0</v>
      </c>
      <c r="B99" s="1" t="s">
        <v>11</v>
      </c>
      <c r="C99" s="1" t="s">
        <v>10</v>
      </c>
      <c r="D99" s="1">
        <v>1.0</v>
      </c>
      <c r="E99" s="1">
        <v>1.0</v>
      </c>
      <c r="F99" s="1">
        <v>0.0</v>
      </c>
      <c r="G99" s="1">
        <v>128.0</v>
      </c>
    </row>
    <row r="100" ht="15.75" customHeight="1">
      <c r="A100" s="1">
        <v>1099.0</v>
      </c>
      <c r="B100" s="1" t="s">
        <v>9</v>
      </c>
      <c r="C100" s="1" t="s">
        <v>12</v>
      </c>
      <c r="D100" s="1">
        <v>4.0</v>
      </c>
      <c r="E100" s="1">
        <v>3.0</v>
      </c>
      <c r="F100" s="1">
        <v>1.0</v>
      </c>
      <c r="G100" s="1">
        <v>94.0</v>
      </c>
    </row>
    <row r="101" ht="15.75" customHeight="1">
      <c r="A101" s="1">
        <v>1100.0</v>
      </c>
      <c r="B101" s="1" t="s">
        <v>7</v>
      </c>
      <c r="C101" s="1" t="s">
        <v>8</v>
      </c>
      <c r="D101" s="1">
        <v>3.0</v>
      </c>
      <c r="E101" s="1">
        <v>2.0</v>
      </c>
      <c r="F101" s="1">
        <v>1.0</v>
      </c>
      <c r="G101" s="1">
        <v>130.0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18.43"/>
  </cols>
  <sheetData>
    <row r="1">
      <c r="A1" s="2" t="s">
        <v>19</v>
      </c>
      <c r="B1" s="2" t="s">
        <v>20</v>
      </c>
      <c r="C1" s="2" t="s">
        <v>21</v>
      </c>
    </row>
    <row r="2">
      <c r="A2" s="1">
        <f>AVERAGE(Data!D:D)</f>
        <v>2.86</v>
      </c>
      <c r="B2" s="1">
        <f>COUNTIF(Data!F:F,"&gt;0")/COUNTA(Data!F:F)%</f>
        <v>50.4950495</v>
      </c>
      <c r="C2" s="1">
        <f>SUM(Data!G:G)</f>
        <v>14333</v>
      </c>
    </row>
  </sheetData>
  <drawing r:id="rId1"/>
</worksheet>
</file>